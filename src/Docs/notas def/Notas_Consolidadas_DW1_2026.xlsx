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My Proyects\Edulabs\ParcialesCinar\notas def\"/>
    </mc:Choice>
  </mc:AlternateContent>
  <bookViews>
    <workbookView xWindow="0" yWindow="2400" windowWidth="28800" windowHeight="11310"/>
  </bookViews>
  <sheets>
    <sheet name="Notas Consolidadas" sheetId="2" r:id="rId1"/>
  </sheets>
  <definedNames>
    <definedName name="_xlnm._FilterDatabase" localSheetId="0" hidden="1">'Notas Consolidadas'!$A$4:$AD$11</definedName>
  </definedNames>
  <calcPr calcId="162913"/>
</workbook>
</file>

<file path=xl/calcChain.xml><?xml version="1.0" encoding="utf-8"?>
<calcChain xmlns="http://schemas.openxmlformats.org/spreadsheetml/2006/main">
  <c r="AD6" i="2" l="1"/>
  <c r="AD7" i="2"/>
  <c r="AD8" i="2"/>
  <c r="AD9" i="2"/>
  <c r="AD10" i="2"/>
  <c r="AD11" i="2"/>
  <c r="AD5" i="2"/>
  <c r="V12" i="2" l="1"/>
  <c r="P12" i="2"/>
  <c r="O12" i="2"/>
  <c r="I12" i="2"/>
  <c r="AB11" i="2"/>
  <c r="AC11" i="2" s="1"/>
  <c r="Z11" i="2"/>
  <c r="AB10" i="2"/>
  <c r="AC10" i="2" s="1"/>
  <c r="Z10" i="2"/>
  <c r="AB9" i="2"/>
  <c r="AC9" i="2" s="1"/>
  <c r="Z9" i="2"/>
  <c r="AB8" i="2"/>
  <c r="AC8" i="2" s="1"/>
  <c r="Z8" i="2"/>
  <c r="AB7" i="2"/>
  <c r="AC7" i="2" s="1"/>
  <c r="Z7" i="2"/>
  <c r="AB6" i="2"/>
  <c r="AC6" i="2" s="1"/>
  <c r="Z6" i="2"/>
  <c r="AB5" i="2"/>
  <c r="AB12" i="2" s="1"/>
  <c r="Z5" i="2"/>
  <c r="AC5" i="2" l="1"/>
  <c r="AC12" i="2" l="1"/>
  <c r="AD12" i="2"/>
</calcChain>
</file>

<file path=xl/sharedStrings.xml><?xml version="1.0" encoding="utf-8"?>
<sst xmlns="http://schemas.openxmlformats.org/spreadsheetml/2006/main" count="75" uniqueCount="35">
  <si>
    <t>Generado: 28/08/2026 10:39 | NOTA 40% (P1 20% + Taller 20%) | NOTA 60% (P2 REAL 20% + Proyecto 40%) | Proyecto: llenar 28/08 12:00</t>
  </si>
  <si>
    <t>N°</t>
  </si>
  <si>
    <t>ESTUDIANTE</t>
  </si>
  <si>
    <t>EMAIL</t>
  </si>
  <si>
    <t>PARCIAL 1
20%</t>
  </si>
  <si>
    <t>Obt</t>
  </si>
  <si>
    <t>Máx</t>
  </si>
  <si>
    <t>%</t>
  </si>
  <si>
    <t>Nota
0-5</t>
  </si>
  <si>
    <t>Pond
20%</t>
  </si>
  <si>
    <t>TALLER 1
20%</t>
  </si>
  <si>
    <t>NOTA 40%
(P1+T1)</t>
  </si>
  <si>
    <t>PARCIAL 2 REAL
20%</t>
  </si>
  <si>
    <t>PROYECTO
40%</t>
  </si>
  <si>
    <t>Pond
40%</t>
  </si>
  <si>
    <t>NOTA 60%
(P2+Proy)</t>
  </si>
  <si>
    <t>NOTA FINAL
100%</t>
  </si>
  <si>
    <t>DAVID ALEJANDRO GARCIA ENRIQUEZ</t>
  </si>
  <si>
    <t>d.garcia@cinar.edu.co</t>
  </si>
  <si>
    <t>20%</t>
  </si>
  <si>
    <t>40%</t>
  </si>
  <si>
    <t>JAIRO DANIEL ZAMBRANO VALLEID</t>
  </si>
  <si>
    <t>j.zambrano@cinar.edu.co</t>
  </si>
  <si>
    <t>HAROLD ESTEBAN QUIROZ ALVAREZ</t>
  </si>
  <si>
    <t>h.quiroz@cinar.edu.co</t>
  </si>
  <si>
    <t>ANDRES FELIPE MEZA LEON</t>
  </si>
  <si>
    <t>a.meza@cinar.edu.co</t>
  </si>
  <si>
    <t>WILLIAM DAVID SALAS LASSO</t>
  </si>
  <si>
    <t>w.salas@cinar.edu.co</t>
  </si>
  <si>
    <t>JEISON STIVEN MARTINEZ ZAMBRA</t>
  </si>
  <si>
    <t>jeison.martinez@cinar.edu.co</t>
  </si>
  <si>
    <t>DIEGO SEBASTIAN AZAIN MORAN</t>
  </si>
  <si>
    <t>d.azain@cinar.edu.co</t>
  </si>
  <si>
    <t>PROMEDIO</t>
  </si>
  <si>
    <t>CONSOLIDADO DE NOTAS - DESARROLLO WEB 1 - CINAR SISTEMAS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</si>
</sst>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i/>
      <sz val="8"/>
      <color rgb="FF666666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theme="3" tint="0.79998168889431442"/>
        <bgColor rgb="FFFCE4E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rgb="FFFCE4E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2" fontId="4" fillId="10" borderId="1" xfId="0" applyNumberFormat="1" applyFont="1" applyFill="1" applyBorder="1" applyAlignment="1">
      <alignment horizontal="center" vertical="center" wrapText="1"/>
    </xf>
    <xf numFmtId="2" fontId="4" fillId="11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2"/>
  <sheetViews>
    <sheetView tabSelected="1" topLeftCell="G1" workbookViewId="0">
      <pane ySplit="4" topLeftCell="A5" activePane="bottomLeft" state="frozen"/>
      <selection pane="bottomLeft" activeCell="AF7" sqref="AF7"/>
    </sheetView>
  </sheetViews>
  <sheetFormatPr baseColWidth="10" defaultColWidth="9.140625" defaultRowHeight="15" x14ac:dyDescent="0.25"/>
  <cols>
    <col min="1" max="1" width="4" style="10" customWidth="1"/>
    <col min="2" max="2" width="32" style="10" customWidth="1"/>
    <col min="3" max="3" width="26" style="10" customWidth="1"/>
    <col min="4" max="4" width="9" style="10" customWidth="1"/>
    <col min="5" max="5" width="6" style="10" customWidth="1"/>
    <col min="7" max="7" width="7" style="10" customWidth="1"/>
    <col min="10" max="10" width="9" style="10" customWidth="1"/>
    <col min="11" max="11" width="10.140625" style="10" customWidth="1"/>
    <col min="12" max="12" width="6" style="10" customWidth="1"/>
    <col min="13" max="13" width="7" style="10" customWidth="1"/>
    <col min="16" max="16" width="9" style="10" customWidth="1"/>
    <col min="17" max="17" width="10" style="10" customWidth="1"/>
    <col min="18" max="18" width="6" style="10" customWidth="1"/>
    <col min="20" max="20" width="7" style="10" customWidth="1"/>
    <col min="23" max="23" width="9" style="10" customWidth="1"/>
    <col min="24" max="24" width="6" style="10" customWidth="1"/>
    <col min="26" max="26" width="7" style="10" customWidth="1"/>
    <col min="29" max="29" width="9" style="10" customWidth="1"/>
  </cols>
  <sheetData>
    <row r="1" spans="1:30" ht="27.95" customHeight="1" x14ac:dyDescent="0.25">
      <c r="A1" s="11" t="s">
        <v>34</v>
      </c>
    </row>
    <row r="2" spans="1:30" x14ac:dyDescent="0.25">
      <c r="A2" s="12" t="s">
        <v>0</v>
      </c>
    </row>
    <row r="4" spans="1:30" ht="32.1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  <c r="P4" s="1" t="s">
        <v>11</v>
      </c>
      <c r="Q4" s="1" t="s">
        <v>12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13</v>
      </c>
      <c r="X4" s="1" t="s">
        <v>5</v>
      </c>
      <c r="Y4" s="1" t="s">
        <v>6</v>
      </c>
      <c r="Z4" s="1" t="s">
        <v>7</v>
      </c>
      <c r="AA4" s="1" t="s">
        <v>8</v>
      </c>
      <c r="AB4" s="1" t="s">
        <v>14</v>
      </c>
      <c r="AC4" s="1" t="s">
        <v>15</v>
      </c>
      <c r="AD4" s="1" t="s">
        <v>16</v>
      </c>
    </row>
    <row r="5" spans="1:30" x14ac:dyDescent="0.25">
      <c r="A5" s="2">
        <v>7</v>
      </c>
      <c r="B5" s="2" t="s">
        <v>31</v>
      </c>
      <c r="C5" s="2" t="s">
        <v>32</v>
      </c>
      <c r="D5" s="19" t="s">
        <v>19</v>
      </c>
      <c r="E5" s="19">
        <v>19</v>
      </c>
      <c r="F5" s="19">
        <v>22</v>
      </c>
      <c r="G5" s="20">
        <v>0.86363636363636365</v>
      </c>
      <c r="H5" s="21">
        <v>4.32</v>
      </c>
      <c r="I5" s="21">
        <v>0.86</v>
      </c>
      <c r="J5" s="22" t="s">
        <v>19</v>
      </c>
      <c r="K5" s="22">
        <v>7</v>
      </c>
      <c r="L5" s="22">
        <v>10</v>
      </c>
      <c r="M5" s="23">
        <v>0.7</v>
      </c>
      <c r="N5" s="24">
        <v>3.5</v>
      </c>
      <c r="O5" s="24">
        <v>0.7</v>
      </c>
      <c r="P5" s="25">
        <v>1.56</v>
      </c>
      <c r="Q5" s="13" t="s">
        <v>19</v>
      </c>
      <c r="R5" s="14">
        <v>14</v>
      </c>
      <c r="S5" s="14">
        <v>18</v>
      </c>
      <c r="T5" s="15">
        <v>0.77777777777777779</v>
      </c>
      <c r="U5" s="16">
        <v>3.89</v>
      </c>
      <c r="V5" s="16">
        <v>0.78</v>
      </c>
      <c r="W5" s="5" t="s">
        <v>20</v>
      </c>
      <c r="X5" s="5"/>
      <c r="Y5" s="5">
        <v>100</v>
      </c>
      <c r="Z5" s="6" t="str">
        <f t="shared" ref="Z5:Z11" si="0">IF(X5="","",X5/Y5)</f>
        <v/>
      </c>
      <c r="AA5" s="7">
        <v>4.5</v>
      </c>
      <c r="AB5" s="7">
        <f t="shared" ref="AB5:AB11" si="1">AA5*0.4</f>
        <v>1.8</v>
      </c>
      <c r="AC5" s="4">
        <f t="shared" ref="AC5:AC11" si="2">V5+AB5</f>
        <v>2.58</v>
      </c>
      <c r="AD5" s="3">
        <f>AB5+AC5</f>
        <v>4.38</v>
      </c>
    </row>
    <row r="6" spans="1:30" x14ac:dyDescent="0.25">
      <c r="A6" s="2">
        <v>1</v>
      </c>
      <c r="B6" s="2" t="s">
        <v>17</v>
      </c>
      <c r="C6" s="2" t="s">
        <v>18</v>
      </c>
      <c r="D6" s="19" t="s">
        <v>19</v>
      </c>
      <c r="E6" s="19">
        <v>48</v>
      </c>
      <c r="F6" s="19">
        <v>48</v>
      </c>
      <c r="G6" s="20">
        <v>1</v>
      </c>
      <c r="H6" s="21">
        <v>5</v>
      </c>
      <c r="I6" s="21">
        <v>1</v>
      </c>
      <c r="J6" s="26" t="s">
        <v>19</v>
      </c>
      <c r="K6" s="26">
        <v>10</v>
      </c>
      <c r="L6" s="26">
        <v>10</v>
      </c>
      <c r="M6" s="23">
        <v>1</v>
      </c>
      <c r="N6" s="24">
        <v>5</v>
      </c>
      <c r="O6" s="24">
        <v>1</v>
      </c>
      <c r="P6" s="25">
        <v>2</v>
      </c>
      <c r="Q6" s="14" t="s">
        <v>19</v>
      </c>
      <c r="R6" s="14">
        <v>17</v>
      </c>
      <c r="S6" s="14">
        <v>18</v>
      </c>
      <c r="T6" s="15">
        <v>0.94444444444444442</v>
      </c>
      <c r="U6" s="16">
        <v>4.72</v>
      </c>
      <c r="V6" s="16">
        <v>0.94</v>
      </c>
      <c r="W6" s="5" t="s">
        <v>20</v>
      </c>
      <c r="X6" s="5"/>
      <c r="Y6" s="5">
        <v>100</v>
      </c>
      <c r="Z6" s="6" t="str">
        <f t="shared" si="0"/>
        <v/>
      </c>
      <c r="AA6" s="7">
        <v>4.8</v>
      </c>
      <c r="AB6" s="7">
        <f t="shared" si="1"/>
        <v>1.92</v>
      </c>
      <c r="AC6" s="4">
        <f t="shared" si="2"/>
        <v>2.86</v>
      </c>
      <c r="AD6" s="3">
        <f t="shared" ref="AD6:AD11" si="3">AB6+AC6</f>
        <v>4.7799999999999994</v>
      </c>
    </row>
    <row r="7" spans="1:30" x14ac:dyDescent="0.25">
      <c r="A7" s="2">
        <v>6</v>
      </c>
      <c r="B7" s="2" t="s">
        <v>29</v>
      </c>
      <c r="C7" s="2" t="s">
        <v>30</v>
      </c>
      <c r="D7" s="19" t="s">
        <v>19</v>
      </c>
      <c r="E7" s="19">
        <v>32</v>
      </c>
      <c r="F7" s="19">
        <v>40</v>
      </c>
      <c r="G7" s="20">
        <v>0.8</v>
      </c>
      <c r="H7" s="21">
        <v>4</v>
      </c>
      <c r="I7" s="21">
        <v>0.8</v>
      </c>
      <c r="J7" s="26" t="s">
        <v>19</v>
      </c>
      <c r="K7" s="26">
        <v>7</v>
      </c>
      <c r="L7" s="26">
        <v>10</v>
      </c>
      <c r="M7" s="23">
        <v>0.7</v>
      </c>
      <c r="N7" s="24">
        <v>3.5</v>
      </c>
      <c r="O7" s="24">
        <v>0.7</v>
      </c>
      <c r="P7" s="25">
        <v>1.5</v>
      </c>
      <c r="Q7" s="13" t="s">
        <v>19</v>
      </c>
      <c r="R7" s="13">
        <v>17</v>
      </c>
      <c r="S7" s="13">
        <v>20</v>
      </c>
      <c r="T7" s="17">
        <v>0.85</v>
      </c>
      <c r="U7" s="18">
        <v>4.25</v>
      </c>
      <c r="V7" s="18">
        <v>0.85</v>
      </c>
      <c r="W7" s="5" t="s">
        <v>20</v>
      </c>
      <c r="X7" s="5"/>
      <c r="Y7" s="5">
        <v>100</v>
      </c>
      <c r="Z7" s="6" t="str">
        <f t="shared" si="0"/>
        <v/>
      </c>
      <c r="AA7" s="7">
        <v>4.8</v>
      </c>
      <c r="AB7" s="7">
        <f t="shared" si="1"/>
        <v>1.92</v>
      </c>
      <c r="AC7" s="4">
        <f t="shared" si="2"/>
        <v>2.77</v>
      </c>
      <c r="AD7" s="3">
        <f t="shared" si="3"/>
        <v>4.6899999999999995</v>
      </c>
    </row>
    <row r="8" spans="1:30" x14ac:dyDescent="0.25">
      <c r="A8" s="2">
        <v>4</v>
      </c>
      <c r="B8" s="2" t="s">
        <v>25</v>
      </c>
      <c r="C8" s="2" t="s">
        <v>26</v>
      </c>
      <c r="D8" s="19" t="s">
        <v>19</v>
      </c>
      <c r="E8" s="19">
        <v>39</v>
      </c>
      <c r="F8" s="19">
        <v>44</v>
      </c>
      <c r="G8" s="20">
        <v>0.88636363636363635</v>
      </c>
      <c r="H8" s="21">
        <v>4.43</v>
      </c>
      <c r="I8" s="21">
        <v>0.89</v>
      </c>
      <c r="J8" s="26" t="s">
        <v>19</v>
      </c>
      <c r="K8" s="26">
        <v>10</v>
      </c>
      <c r="L8" s="26">
        <v>10</v>
      </c>
      <c r="M8" s="23">
        <v>1</v>
      </c>
      <c r="N8" s="24">
        <v>5</v>
      </c>
      <c r="O8" s="24">
        <v>1</v>
      </c>
      <c r="P8" s="25">
        <v>1.89</v>
      </c>
      <c r="Q8" s="13" t="s">
        <v>19</v>
      </c>
      <c r="R8" s="13">
        <v>12</v>
      </c>
      <c r="S8" s="13">
        <v>17</v>
      </c>
      <c r="T8" s="15">
        <v>0.70588235294117652</v>
      </c>
      <c r="U8" s="16">
        <v>3.53</v>
      </c>
      <c r="V8" s="16">
        <v>0.71</v>
      </c>
      <c r="W8" s="5" t="s">
        <v>20</v>
      </c>
      <c r="X8" s="5"/>
      <c r="Y8" s="5">
        <v>100</v>
      </c>
      <c r="Z8" s="6" t="str">
        <f t="shared" si="0"/>
        <v/>
      </c>
      <c r="AA8" s="7">
        <v>4.5</v>
      </c>
      <c r="AB8" s="7">
        <f t="shared" si="1"/>
        <v>1.8</v>
      </c>
      <c r="AC8" s="4">
        <f t="shared" si="2"/>
        <v>2.5099999999999998</v>
      </c>
      <c r="AD8" s="3">
        <f t="shared" si="3"/>
        <v>4.3099999999999996</v>
      </c>
    </row>
    <row r="9" spans="1:30" x14ac:dyDescent="0.25">
      <c r="A9" s="2">
        <v>3</v>
      </c>
      <c r="B9" s="2" t="s">
        <v>23</v>
      </c>
      <c r="C9" s="2" t="s">
        <v>24</v>
      </c>
      <c r="D9" s="19" t="s">
        <v>19</v>
      </c>
      <c r="E9" s="19">
        <v>29</v>
      </c>
      <c r="F9" s="19">
        <v>32</v>
      </c>
      <c r="G9" s="20">
        <v>0.90625</v>
      </c>
      <c r="H9" s="21">
        <v>4.53</v>
      </c>
      <c r="I9" s="21">
        <v>0.91</v>
      </c>
      <c r="J9" s="26" t="s">
        <v>19</v>
      </c>
      <c r="K9" s="26">
        <v>9</v>
      </c>
      <c r="L9" s="26">
        <v>10</v>
      </c>
      <c r="M9" s="23">
        <v>0.9</v>
      </c>
      <c r="N9" s="24">
        <v>4.5</v>
      </c>
      <c r="O9" s="24">
        <v>0.9</v>
      </c>
      <c r="P9" s="25">
        <v>1.81</v>
      </c>
      <c r="Q9" s="14" t="s">
        <v>19</v>
      </c>
      <c r="R9" s="14">
        <v>12</v>
      </c>
      <c r="S9" s="14">
        <v>17</v>
      </c>
      <c r="T9" s="15">
        <v>0.70588235294117652</v>
      </c>
      <c r="U9" s="16">
        <v>3.53</v>
      </c>
      <c r="V9" s="16">
        <v>0.71</v>
      </c>
      <c r="W9" s="5" t="s">
        <v>20</v>
      </c>
      <c r="X9" s="5"/>
      <c r="Y9" s="5">
        <v>100</v>
      </c>
      <c r="Z9" s="6" t="str">
        <f t="shared" si="0"/>
        <v/>
      </c>
      <c r="AA9" s="7">
        <v>4.5999999999999996</v>
      </c>
      <c r="AB9" s="7">
        <f t="shared" si="1"/>
        <v>1.8399999999999999</v>
      </c>
      <c r="AC9" s="4">
        <f t="shared" si="2"/>
        <v>2.5499999999999998</v>
      </c>
      <c r="AD9" s="3">
        <f t="shared" si="3"/>
        <v>4.3899999999999997</v>
      </c>
    </row>
    <row r="10" spans="1:30" x14ac:dyDescent="0.25">
      <c r="A10" s="2">
        <v>5</v>
      </c>
      <c r="B10" s="2" t="s">
        <v>27</v>
      </c>
      <c r="C10" s="2" t="s">
        <v>28</v>
      </c>
      <c r="D10" s="19" t="s">
        <v>19</v>
      </c>
      <c r="E10" s="19">
        <v>21</v>
      </c>
      <c r="F10" s="19">
        <v>22</v>
      </c>
      <c r="G10" s="20">
        <v>0.95454545454545459</v>
      </c>
      <c r="H10" s="21">
        <v>4.7699999999999996</v>
      </c>
      <c r="I10" s="21">
        <v>0.95</v>
      </c>
      <c r="J10" s="26" t="s">
        <v>19</v>
      </c>
      <c r="K10" s="26">
        <v>9</v>
      </c>
      <c r="L10" s="26">
        <v>10</v>
      </c>
      <c r="M10" s="23">
        <v>0.9</v>
      </c>
      <c r="N10" s="24">
        <v>4.5</v>
      </c>
      <c r="O10" s="24">
        <v>0.9</v>
      </c>
      <c r="P10" s="25">
        <v>1.85</v>
      </c>
      <c r="Q10" s="13" t="s">
        <v>19</v>
      </c>
      <c r="R10" s="13">
        <v>16</v>
      </c>
      <c r="S10" s="13">
        <v>18</v>
      </c>
      <c r="T10" s="17">
        <v>0.88888888888888884</v>
      </c>
      <c r="U10" s="18">
        <v>4.4400000000000004</v>
      </c>
      <c r="V10" s="18">
        <v>0.89</v>
      </c>
      <c r="W10" s="5" t="s">
        <v>20</v>
      </c>
      <c r="X10" s="5"/>
      <c r="Y10" s="5">
        <v>100</v>
      </c>
      <c r="Z10" s="6" t="str">
        <f t="shared" si="0"/>
        <v/>
      </c>
      <c r="AA10" s="7">
        <v>3.5</v>
      </c>
      <c r="AB10" s="7">
        <f t="shared" si="1"/>
        <v>1.4000000000000001</v>
      </c>
      <c r="AC10" s="4">
        <f t="shared" si="2"/>
        <v>2.29</v>
      </c>
      <c r="AD10" s="3">
        <f t="shared" si="3"/>
        <v>3.6900000000000004</v>
      </c>
    </row>
    <row r="11" spans="1:30" x14ac:dyDescent="0.25">
      <c r="A11" s="2">
        <v>2</v>
      </c>
      <c r="B11" s="2" t="s">
        <v>21</v>
      </c>
      <c r="C11" s="2" t="s">
        <v>22</v>
      </c>
      <c r="D11" s="19" t="s">
        <v>19</v>
      </c>
      <c r="E11" s="19">
        <v>39</v>
      </c>
      <c r="F11" s="19">
        <v>40</v>
      </c>
      <c r="G11" s="20">
        <v>0.97499999999999998</v>
      </c>
      <c r="H11" s="21">
        <v>4.88</v>
      </c>
      <c r="I11" s="21">
        <v>0.98</v>
      </c>
      <c r="J11" s="26" t="s">
        <v>19</v>
      </c>
      <c r="K11" s="26">
        <v>10</v>
      </c>
      <c r="L11" s="26">
        <v>10</v>
      </c>
      <c r="M11" s="23">
        <v>1</v>
      </c>
      <c r="N11" s="24">
        <v>5</v>
      </c>
      <c r="O11" s="24">
        <v>1</v>
      </c>
      <c r="P11" s="25">
        <v>1.98</v>
      </c>
      <c r="Q11" s="14" t="s">
        <v>19</v>
      </c>
      <c r="R11" s="14">
        <v>14</v>
      </c>
      <c r="S11" s="14">
        <v>17</v>
      </c>
      <c r="T11" s="15">
        <v>0.82352941176470584</v>
      </c>
      <c r="U11" s="16">
        <v>4.12</v>
      </c>
      <c r="V11" s="16">
        <v>0.82</v>
      </c>
      <c r="W11" s="5" t="s">
        <v>20</v>
      </c>
      <c r="X11" s="5"/>
      <c r="Y11" s="5">
        <v>100</v>
      </c>
      <c r="Z11" s="6" t="str">
        <f t="shared" si="0"/>
        <v/>
      </c>
      <c r="AA11" s="7">
        <v>4.7699999999999996</v>
      </c>
      <c r="AB11" s="7">
        <f t="shared" si="1"/>
        <v>1.9079999999999999</v>
      </c>
      <c r="AC11" s="4">
        <f t="shared" si="2"/>
        <v>2.7279999999999998</v>
      </c>
      <c r="AD11" s="3">
        <f t="shared" si="3"/>
        <v>4.6359999999999992</v>
      </c>
    </row>
    <row r="12" spans="1:30" x14ac:dyDescent="0.25">
      <c r="B12" s="8" t="s">
        <v>33</v>
      </c>
      <c r="I12" s="9">
        <f>AVERAGEIF(I5:I11,"&gt;=0")</f>
        <v>0.91285714285714292</v>
      </c>
      <c r="O12" s="9">
        <f>AVERAGEIF(O5:O11,"&gt;=0")</f>
        <v>0.88571428571428579</v>
      </c>
      <c r="P12" s="9">
        <f>AVERAGE(P5:P11)</f>
        <v>1.7985714285714285</v>
      </c>
      <c r="V12" s="9">
        <f>AVERAGEIF(V5:V11,"&gt;=0")</f>
        <v>0.81428571428571428</v>
      </c>
      <c r="AB12" s="9">
        <f>AVERAGEIF(AB5:AB11,"&gt;=0")</f>
        <v>1.7982857142857143</v>
      </c>
      <c r="AC12" s="9">
        <f>AVERAGE(AC5:AC11)</f>
        <v>2.6125714285714281</v>
      </c>
      <c r="AD12" s="9">
        <f>AVERAGE(AD5:AD11)</f>
        <v>4.410857142857143</v>
      </c>
    </row>
  </sheetData>
  <autoFilter ref="A4:AD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Consolidadas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Aguirre</cp:lastModifiedBy>
  <dcterms:created xsi:type="dcterms:W3CDTF">2026-08-28T15:39:58Z</dcterms:created>
  <dcterms:modified xsi:type="dcterms:W3CDTF">2026-08-28T16:42:55Z</dcterms:modified>
</cp:coreProperties>
</file>